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MD" sheetId="1" r:id="rId1"/>
    <sheet name="DISTRICT FARMERS" sheetId="2" r:id="rId2"/>
  </sheets>
  <definedNames>
    <definedName name="_xlnm.Print_Area" localSheetId="1">'DISTRICT FARMERS'!$A$1:$L$23</definedName>
    <definedName name="_xlnm.Print_Area" localSheetId="0">MD!$A$1:$Z$29</definedName>
  </definedNames>
  <calcPr calcId="124519"/>
</workbook>
</file>

<file path=xl/calcChain.xml><?xml version="1.0" encoding="utf-8"?>
<calcChain xmlns="http://schemas.openxmlformats.org/spreadsheetml/2006/main">
  <c r="L23" i="2"/>
  <c r="I23"/>
  <c r="H23"/>
  <c r="F23"/>
  <c r="E23"/>
  <c r="D23"/>
  <c r="K22"/>
  <c r="J22"/>
  <c r="K21"/>
  <c r="J21"/>
  <c r="K20"/>
  <c r="J20"/>
  <c r="K19"/>
  <c r="J19"/>
  <c r="K18"/>
  <c r="J18"/>
  <c r="K17"/>
  <c r="J17"/>
  <c r="K16"/>
  <c r="J16"/>
  <c r="K15"/>
  <c r="J15"/>
  <c r="K14"/>
  <c r="J14"/>
  <c r="K13"/>
  <c r="J13"/>
  <c r="K12"/>
  <c r="J12"/>
  <c r="K11"/>
  <c r="J11"/>
  <c r="K10"/>
  <c r="J10"/>
  <c r="K9"/>
  <c r="K23" s="1"/>
  <c r="J9"/>
  <c r="K8"/>
  <c r="J8"/>
  <c r="K7"/>
  <c r="J7"/>
  <c r="K6"/>
  <c r="J6"/>
  <c r="J23" s="1"/>
  <c r="X28" i="1"/>
  <c r="W28"/>
  <c r="V28"/>
  <c r="U28"/>
  <c r="T28"/>
  <c r="S28"/>
  <c r="R28"/>
  <c r="Q28"/>
  <c r="P28"/>
  <c r="O28"/>
  <c r="N28"/>
  <c r="L28"/>
  <c r="K28"/>
  <c r="J28"/>
  <c r="I28"/>
  <c r="F28"/>
  <c r="E28"/>
  <c r="Y27"/>
  <c r="Y26"/>
  <c r="Y25"/>
  <c r="Y24"/>
  <c r="Y23"/>
  <c r="Y28" s="1"/>
  <c r="V22"/>
  <c r="V29" s="1"/>
  <c r="Q22"/>
  <c r="Q29" s="1"/>
  <c r="N22"/>
  <c r="N29" s="1"/>
  <c r="X21"/>
  <c r="W21"/>
  <c r="V21"/>
  <c r="U21"/>
  <c r="T21"/>
  <c r="S21"/>
  <c r="S22" s="1"/>
  <c r="S29" s="1"/>
  <c r="R21"/>
  <c r="Q21"/>
  <c r="P21"/>
  <c r="O21"/>
  <c r="N21"/>
  <c r="L21"/>
  <c r="K21"/>
  <c r="J21"/>
  <c r="J22" s="1"/>
  <c r="J29" s="1"/>
  <c r="I21"/>
  <c r="Y20"/>
  <c r="Y19"/>
  <c r="Y18"/>
  <c r="Y17"/>
  <c r="F17"/>
  <c r="Y16"/>
  <c r="F16"/>
  <c r="E16"/>
  <c r="Y15"/>
  <c r="Y21" s="1"/>
  <c r="F15"/>
  <c r="F21" s="1"/>
  <c r="F22" s="1"/>
  <c r="F29" s="1"/>
  <c r="E15"/>
  <c r="E21" s="1"/>
  <c r="X14"/>
  <c r="X22" s="1"/>
  <c r="X29" s="1"/>
  <c r="W14"/>
  <c r="W22" s="1"/>
  <c r="W29" s="1"/>
  <c r="V14"/>
  <c r="U14"/>
  <c r="U22" s="1"/>
  <c r="U29" s="1"/>
  <c r="T14"/>
  <c r="T22" s="1"/>
  <c r="T29" s="1"/>
  <c r="S14"/>
  <c r="R14"/>
  <c r="R22" s="1"/>
  <c r="R29" s="1"/>
  <c r="Q14"/>
  <c r="P14"/>
  <c r="P22" s="1"/>
  <c r="P29" s="1"/>
  <c r="O14"/>
  <c r="O22" s="1"/>
  <c r="O29" s="1"/>
  <c r="N14"/>
  <c r="L14"/>
  <c r="L22" s="1"/>
  <c r="L29" s="1"/>
  <c r="K14"/>
  <c r="K22" s="1"/>
  <c r="K29" s="1"/>
  <c r="J14"/>
  <c r="I14"/>
  <c r="I22" s="1"/>
  <c r="I29" s="1"/>
  <c r="F14"/>
  <c r="E14"/>
  <c r="Y13"/>
  <c r="Y12"/>
  <c r="Y11"/>
  <c r="Y10"/>
  <c r="Y9"/>
  <c r="Y8"/>
  <c r="Y7"/>
  <c r="Y6"/>
  <c r="Y14" s="1"/>
  <c r="F6"/>
  <c r="E6"/>
  <c r="Y22" l="1"/>
  <c r="Y29" s="1"/>
  <c r="E22"/>
  <c r="E29" s="1"/>
</calcChain>
</file>

<file path=xl/sharedStrings.xml><?xml version="1.0" encoding="utf-8"?>
<sst xmlns="http://schemas.openxmlformats.org/spreadsheetml/2006/main" count="89" uniqueCount="53">
  <si>
    <t>MAIZE - MSP 2400 - VANAKALAM 2025-26 - LOANS &amp; UTILIZATION As on 24.03.2026 
(G.O NO. 558 Dated: 04.12.2025 Rs. 2421.78 Crores)</t>
  </si>
  <si>
    <t>TOTAL LOAN APPROVED AS PER GO NO</t>
  </si>
  <si>
    <t>LOAN SANCTIONED BY   - NAME OF THE BANK /OTHER SOURCES</t>
  </si>
  <si>
    <t>ACCOUT NO. OF THE BANK</t>
  </si>
  <si>
    <t>DATE OF SANCTION OF  LOAN</t>
  </si>
  <si>
    <t>TOTAL AMOUNT SANCTIONED (IN CRS)</t>
  </si>
  <si>
    <t>TOTAL LOAN AMOUNT DRAWN AS ON TODAY BY HOD (IN CRS)</t>
  </si>
  <si>
    <t>AMOUNT TRANSFFERED TO NAME OF THE BANK</t>
  </si>
  <si>
    <t>RECEIVED KOTAK BANK ACCOUNT NO.</t>
  </si>
  <si>
    <t>FUNDS UTILISED BY DISTRICT MANAGERS  AMOUNT IN RS.</t>
  </si>
  <si>
    <t>AMOUNT WITH DRAWN (IN RS,)</t>
  </si>
  <si>
    <t>WTH DRAWN DATE</t>
  </si>
  <si>
    <t>TRANSFERED TO DISTRICT MANAGERS ACCOUNT</t>
  </si>
  <si>
    <t>TRANSFERED TO DISTRICT MANAGERS ACCOUNT DATE</t>
  </si>
  <si>
    <t>UTR NO.</t>
  </si>
  <si>
    <t>TRANSFFERED TOWARDS FARMERS PAYMENTS (IN RS.)</t>
  </si>
  <si>
    <t xml:space="preserve"> TRANSFFERED TOWARDS GUNNIES PAYMENT (IN RS.)</t>
  </si>
  <si>
    <t xml:space="preserve"> TRANSFFERED TOWARDS TRANSPORTATION PAYMENT (IN RS.)</t>
  </si>
  <si>
    <t xml:space="preserve"> TRANSFFERED TOWARDS UNLOADING PAYMENT (IN RS.)</t>
  </si>
  <si>
    <t xml:space="preserve"> PAYMENTS TOWARDS STORAGE CHARGES (SWC/ CWC)</t>
  </si>
  <si>
    <t>FERTILISER PAYMENTS TO COMPANIES IF ANY</t>
  </si>
  <si>
    <t>FERTILISER PAYMENTS TO H&amp;T IF ANY</t>
  </si>
  <si>
    <t>OTHER LOAN INTEREST OTHERTHAN MAIZE LOAN</t>
  </si>
  <si>
    <t>LOAN MONTHLY INTEREST  PAYMENT</t>
  </si>
  <si>
    <t>OTHER LOAN REPAYMENTS</t>
  </si>
  <si>
    <t>OTHERS</t>
  </si>
  <si>
    <t>TOTAL AMOUNT</t>
  </si>
  <si>
    <t>REMARKS</t>
  </si>
  <si>
    <t>AO-I /CAO</t>
  </si>
  <si>
    <t>G.O NO. 558 Dated: 04.12.2025 Rs. 2421.78 Crores</t>
  </si>
  <si>
    <t>Bank of India</t>
  </si>
  <si>
    <t xml:space="preserve"> DISTRICT  NAMES TO BE SHOWN FOR EACH ENTRY IN DROP BOX</t>
  </si>
  <si>
    <t>Sub Total</t>
  </si>
  <si>
    <t>State Bank of India</t>
  </si>
  <si>
    <t>Total</t>
  </si>
  <si>
    <t>Funds from Other source</t>
  </si>
  <si>
    <t>G. Total</t>
  </si>
  <si>
    <t>FUNDS UTILISED BY DISTRICT MANAGERS TOWARDS FARMERS PAYMENTS (AMOUNT IN Rs.) @ MSP Rs.2400/-</t>
  </si>
  <si>
    <t>NAME OF MAIZE PROCUREMENT DISTRICT</t>
  </si>
  <si>
    <t>NO. OF PACS /DCMS/FPO</t>
  </si>
  <si>
    <t>NAME OF PACS /DCMS/FPO</t>
  </si>
  <si>
    <t>TOTAL NO OF FARMERS BENEFITED DISTRICT WISE</t>
  </si>
  <si>
    <t>TOTAL QUANTITY PROCURED (IN QTL'S)</t>
  </si>
  <si>
    <t>COST OF PROCURED QTY (MSP RATE @ 2400) AS ON DATE</t>
  </si>
  <si>
    <t/>
  </si>
  <si>
    <t>AMOUNT RECEIVED TOWARDS FARMERS PAYMENTS FROM HO</t>
  </si>
  <si>
    <t xml:space="preserve"> PAYMENT RELEASED TO THE FARMERS BY DISTRICT MANAGER</t>
  </si>
  <si>
    <t>BALANCE AMOUNT TO BE RELEASED TO FARMERS BY DISTRICT MANAGER</t>
  </si>
  <si>
    <t>BALANCE AMOUNT TO BE RELEASED TO THE DISTRICT MANAGER FROM HOD</t>
  </si>
  <si>
    <t>Auto from 11Column</t>
  </si>
  <si>
    <t>Auto</t>
  </si>
  <si>
    <t>DROP BOX</t>
  </si>
  <si>
    <t>DM</t>
  </si>
</sst>
</file>

<file path=xl/styles.xml><?xml version="1.0" encoding="utf-8"?>
<styleSheet xmlns="http://schemas.openxmlformats.org/spreadsheetml/2006/main">
  <numFmts count="1">
    <numFmt numFmtId="164" formatCode="&quot;True&quot;;&quot;True&quot;;&quot;False&quot;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b/>
      <sz val="9"/>
      <color theme="1"/>
      <name val="Century Gothic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2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 wrapText="1"/>
    </xf>
    <xf numFmtId="0" fontId="5" fillId="0" borderId="1" xfId="0" applyFont="1" applyBorder="1"/>
    <xf numFmtId="2" fontId="4" fillId="0" borderId="1" xfId="0" applyNumberFormat="1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0" xfId="0" applyFont="1" applyBorder="1"/>
  </cellXfs>
  <cellStyles count="3">
    <cellStyle name="Comma 11" xfId="1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38"/>
  <sheetViews>
    <sheetView tabSelected="1" zoomScale="85" zoomScaleNormal="85" workbookViewId="0">
      <selection activeCell="G7" sqref="G7"/>
    </sheetView>
  </sheetViews>
  <sheetFormatPr defaultRowHeight="16.5"/>
  <cols>
    <col min="1" max="1" width="13" style="26" customWidth="1"/>
    <col min="2" max="2" width="11.5703125" style="26" customWidth="1"/>
    <col min="3" max="3" width="8.140625" style="26" customWidth="1"/>
    <col min="4" max="4" width="10.5703125" style="26" bestFit="1" customWidth="1"/>
    <col min="5" max="5" width="12.7109375" style="26" customWidth="1"/>
    <col min="6" max="6" width="11.7109375" style="26" customWidth="1"/>
    <col min="7" max="8" width="11.28515625" style="26" customWidth="1"/>
    <col min="9" max="10" width="9.5703125" style="26" customWidth="1"/>
    <col min="11" max="11" width="10.42578125" style="26" customWidth="1"/>
    <col min="12" max="12" width="10.7109375" style="26" customWidth="1"/>
    <col min="13" max="13" width="7.7109375" style="26" customWidth="1"/>
    <col min="14" max="14" width="11" style="26" customWidth="1"/>
    <col min="15" max="15" width="10.28515625" style="26" customWidth="1"/>
    <col min="16" max="16" width="11.7109375" style="26" customWidth="1"/>
    <col min="17" max="17" width="12.140625" style="26" customWidth="1"/>
    <col min="18" max="18" width="12.7109375" style="26" customWidth="1"/>
    <col min="19" max="19" width="12.140625" style="26" customWidth="1"/>
    <col min="20" max="20" width="10.5703125" style="26" customWidth="1"/>
    <col min="21" max="23" width="12.140625" style="26" customWidth="1"/>
    <col min="24" max="24" width="9.85546875" style="26" customWidth="1"/>
    <col min="25" max="25" width="12.140625" style="26" customWidth="1"/>
    <col min="26" max="26" width="8.85546875" style="26" customWidth="1"/>
    <col min="27" max="16384" width="9.140625" style="3"/>
  </cols>
  <sheetData>
    <row r="1" spans="1:28" ht="5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8" s="5" customFormat="1" ht="26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" t="s">
        <v>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s="5" customFormat="1" ht="138" customHeight="1">
      <c r="A3" s="4"/>
      <c r="B3" s="4"/>
      <c r="C3" s="4"/>
      <c r="D3" s="4"/>
      <c r="E3" s="4"/>
      <c r="F3" s="4"/>
      <c r="G3" s="4"/>
      <c r="H3" s="4"/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B3" s="5" t="s">
        <v>9</v>
      </c>
    </row>
    <row r="4" spans="1:28" s="7" customFormat="1" ht="45" customHeight="1">
      <c r="A4" s="6" t="s">
        <v>28</v>
      </c>
      <c r="B4" s="6" t="s">
        <v>28</v>
      </c>
      <c r="C4" s="6" t="s">
        <v>28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28</v>
      </c>
      <c r="I4" s="6" t="s">
        <v>28</v>
      </c>
      <c r="J4" s="6" t="s">
        <v>28</v>
      </c>
      <c r="K4" s="6" t="s">
        <v>28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s">
        <v>28</v>
      </c>
      <c r="U4" s="6" t="s">
        <v>28</v>
      </c>
      <c r="V4" s="6" t="s">
        <v>28</v>
      </c>
      <c r="W4" s="6" t="s">
        <v>28</v>
      </c>
      <c r="X4" s="6" t="s">
        <v>28</v>
      </c>
      <c r="Y4" s="6" t="s">
        <v>28</v>
      </c>
      <c r="Z4" s="6" t="s">
        <v>28</v>
      </c>
    </row>
    <row r="5" spans="1:28" s="5" customFormat="1" ht="15.75" customHeight="1">
      <c r="A5" s="8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8">
        <v>7</v>
      </c>
      <c r="H5" s="8">
        <v>8</v>
      </c>
      <c r="I5" s="8">
        <v>9</v>
      </c>
      <c r="J5" s="8">
        <v>10</v>
      </c>
      <c r="K5" s="8">
        <v>11</v>
      </c>
      <c r="L5" s="8">
        <v>12</v>
      </c>
      <c r="M5" s="8">
        <v>13</v>
      </c>
      <c r="N5" s="8">
        <v>14</v>
      </c>
      <c r="O5" s="8">
        <v>15</v>
      </c>
      <c r="P5" s="8">
        <v>16</v>
      </c>
      <c r="Q5" s="8">
        <v>17</v>
      </c>
      <c r="R5" s="8">
        <v>18</v>
      </c>
      <c r="S5" s="8">
        <v>19</v>
      </c>
      <c r="T5" s="8">
        <v>20</v>
      </c>
      <c r="U5" s="8">
        <v>21</v>
      </c>
      <c r="V5" s="8">
        <v>22</v>
      </c>
      <c r="W5" s="8">
        <v>23</v>
      </c>
      <c r="X5" s="8">
        <v>24</v>
      </c>
      <c r="Y5" s="8">
        <v>25</v>
      </c>
      <c r="Z5" s="8">
        <v>26</v>
      </c>
      <c r="AA5" s="8"/>
    </row>
    <row r="6" spans="1:28" s="5" customFormat="1" ht="58.5" customHeight="1">
      <c r="A6" s="9" t="s">
        <v>29</v>
      </c>
      <c r="B6" s="9" t="s">
        <v>30</v>
      </c>
      <c r="C6" s="10"/>
      <c r="D6" s="9"/>
      <c r="E6" s="11">
        <f>10000000000/10000000</f>
        <v>1000</v>
      </c>
      <c r="F6" s="12">
        <f>10000000000/10000000</f>
        <v>1000</v>
      </c>
      <c r="G6" s="13"/>
      <c r="H6" s="13"/>
      <c r="I6" s="14"/>
      <c r="J6" s="14"/>
      <c r="K6" s="15" t="s">
        <v>31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>
        <f t="shared" ref="Y6:Y13" si="0">SUM(N6:X6)</f>
        <v>0</v>
      </c>
      <c r="Z6" s="14"/>
    </row>
    <row r="7" spans="1:28" s="5" customFormat="1" ht="21" customHeight="1">
      <c r="A7" s="9"/>
      <c r="B7" s="9"/>
      <c r="C7" s="10"/>
      <c r="D7" s="9"/>
      <c r="E7" s="11"/>
      <c r="F7" s="12"/>
      <c r="G7" s="13"/>
      <c r="H7" s="13"/>
      <c r="I7" s="16"/>
      <c r="J7" s="16"/>
      <c r="K7" s="1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4">
        <f t="shared" si="0"/>
        <v>0</v>
      </c>
      <c r="Z7" s="16"/>
    </row>
    <row r="8" spans="1:28" s="5" customFormat="1" ht="21" customHeight="1">
      <c r="A8" s="9"/>
      <c r="B8" s="9"/>
      <c r="C8" s="10"/>
      <c r="D8" s="9"/>
      <c r="E8" s="11"/>
      <c r="F8" s="12"/>
      <c r="G8" s="13"/>
      <c r="H8" s="13"/>
      <c r="I8" s="16"/>
      <c r="J8" s="16"/>
      <c r="K8" s="1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4">
        <f t="shared" si="0"/>
        <v>0</v>
      </c>
      <c r="Z8" s="16"/>
    </row>
    <row r="9" spans="1:28" s="5" customFormat="1" ht="21" customHeight="1">
      <c r="A9" s="9"/>
      <c r="B9" s="9"/>
      <c r="C9" s="10"/>
      <c r="D9" s="9"/>
      <c r="E9" s="11"/>
      <c r="F9" s="12"/>
      <c r="G9" s="13"/>
      <c r="H9" s="13"/>
      <c r="I9" s="16"/>
      <c r="J9" s="16"/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4">
        <f t="shared" si="0"/>
        <v>0</v>
      </c>
      <c r="Z9" s="16"/>
    </row>
    <row r="10" spans="1:28" s="5" customFormat="1" ht="21" customHeight="1">
      <c r="A10" s="9"/>
      <c r="B10" s="9"/>
      <c r="C10" s="10"/>
      <c r="D10" s="9"/>
      <c r="E10" s="11"/>
      <c r="F10" s="12"/>
      <c r="G10" s="13"/>
      <c r="H10" s="13"/>
      <c r="I10" s="18"/>
      <c r="J10" s="18"/>
      <c r="K10" s="17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4">
        <f t="shared" si="0"/>
        <v>0</v>
      </c>
      <c r="Z10" s="18"/>
    </row>
    <row r="11" spans="1:28" s="5" customFormat="1" ht="21" customHeight="1">
      <c r="A11" s="9"/>
      <c r="B11" s="9"/>
      <c r="C11" s="10"/>
      <c r="D11" s="9"/>
      <c r="E11" s="11"/>
      <c r="F11" s="12"/>
      <c r="G11" s="13"/>
      <c r="H11" s="13"/>
      <c r="I11" s="16"/>
      <c r="J11" s="16"/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4">
        <f t="shared" si="0"/>
        <v>0</v>
      </c>
      <c r="Z11" s="16"/>
    </row>
    <row r="12" spans="1:28" s="5" customFormat="1" ht="21" customHeight="1">
      <c r="A12" s="9"/>
      <c r="B12" s="9"/>
      <c r="C12" s="10"/>
      <c r="D12" s="9"/>
      <c r="E12" s="11"/>
      <c r="F12" s="12"/>
      <c r="G12" s="13"/>
      <c r="H12" s="13"/>
      <c r="I12" s="16"/>
      <c r="J12" s="16"/>
      <c r="K12" s="1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4">
        <f t="shared" si="0"/>
        <v>0</v>
      </c>
      <c r="Z12" s="16"/>
    </row>
    <row r="13" spans="1:28" s="5" customFormat="1" ht="21" customHeight="1">
      <c r="A13" s="9"/>
      <c r="B13" s="9"/>
      <c r="C13" s="10"/>
      <c r="D13" s="9"/>
      <c r="E13" s="11"/>
      <c r="F13" s="12"/>
      <c r="G13" s="13"/>
      <c r="H13" s="13"/>
      <c r="I13" s="16"/>
      <c r="J13" s="16"/>
      <c r="K13" s="19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4">
        <f t="shared" si="0"/>
        <v>0</v>
      </c>
      <c r="Z13" s="16"/>
    </row>
    <row r="14" spans="1:28" s="5" customFormat="1" ht="21" customHeight="1">
      <c r="A14" s="9"/>
      <c r="B14" s="18"/>
      <c r="C14" s="18"/>
      <c r="D14" s="6" t="s">
        <v>32</v>
      </c>
      <c r="E14" s="20">
        <f t="shared" ref="E14:F14" si="1">SUM(E6:E13)</f>
        <v>1000</v>
      </c>
      <c r="F14" s="20">
        <f t="shared" si="1"/>
        <v>1000</v>
      </c>
      <c r="G14" s="20"/>
      <c r="H14" s="20"/>
      <c r="I14" s="20">
        <f t="shared" ref="I14:X14" si="2">SUM(I6:I13)</f>
        <v>0</v>
      </c>
      <c r="J14" s="20">
        <f t="shared" si="2"/>
        <v>0</v>
      </c>
      <c r="K14" s="20">
        <f t="shared" si="2"/>
        <v>0</v>
      </c>
      <c r="L14" s="20">
        <f t="shared" si="2"/>
        <v>0</v>
      </c>
      <c r="M14" s="20"/>
      <c r="N14" s="20">
        <f t="shared" si="2"/>
        <v>0</v>
      </c>
      <c r="O14" s="20">
        <f t="shared" si="2"/>
        <v>0</v>
      </c>
      <c r="P14" s="20">
        <f t="shared" si="2"/>
        <v>0</v>
      </c>
      <c r="Q14" s="20">
        <f t="shared" si="2"/>
        <v>0</v>
      </c>
      <c r="R14" s="20">
        <f t="shared" si="2"/>
        <v>0</v>
      </c>
      <c r="S14" s="20">
        <f t="shared" si="2"/>
        <v>0</v>
      </c>
      <c r="T14" s="20">
        <f t="shared" si="2"/>
        <v>0</v>
      </c>
      <c r="U14" s="20">
        <f t="shared" si="2"/>
        <v>0</v>
      </c>
      <c r="V14" s="20">
        <f t="shared" si="2"/>
        <v>0</v>
      </c>
      <c r="W14" s="20">
        <f t="shared" si="2"/>
        <v>0</v>
      </c>
      <c r="X14" s="20">
        <f t="shared" si="2"/>
        <v>0</v>
      </c>
      <c r="Y14" s="20">
        <f>SUM(Y6:Y13)</f>
        <v>0</v>
      </c>
      <c r="Z14" s="16"/>
    </row>
    <row r="15" spans="1:28" s="5" customFormat="1" ht="21" customHeight="1">
      <c r="A15" s="9"/>
      <c r="B15" s="9" t="s">
        <v>33</v>
      </c>
      <c r="C15" s="10"/>
      <c r="D15" s="9"/>
      <c r="E15" s="21">
        <f>688</f>
        <v>688</v>
      </c>
      <c r="F15" s="21">
        <f>10000000000/10000000</f>
        <v>1000</v>
      </c>
      <c r="G15" s="21"/>
      <c r="H15" s="21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4">
        <f t="shared" ref="Y15:Y20" si="3">SUM(N15:X15)</f>
        <v>0</v>
      </c>
      <c r="Z15" s="16"/>
    </row>
    <row r="16" spans="1:28" s="5" customFormat="1" ht="21" customHeight="1">
      <c r="A16" s="9"/>
      <c r="B16" s="9"/>
      <c r="C16" s="10"/>
      <c r="D16" s="9"/>
      <c r="E16" s="21">
        <f>7337800000/10000000</f>
        <v>733.78</v>
      </c>
      <c r="F16" s="21">
        <f>1586853647/10000000</f>
        <v>158.68536470000001</v>
      </c>
      <c r="G16" s="21"/>
      <c r="H16" s="21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4">
        <f t="shared" si="3"/>
        <v>0</v>
      </c>
      <c r="Z16" s="16"/>
    </row>
    <row r="17" spans="1:26" s="5" customFormat="1" ht="21" customHeight="1">
      <c r="A17" s="9"/>
      <c r="B17" s="9"/>
      <c r="C17" s="10"/>
      <c r="D17" s="9"/>
      <c r="E17" s="18"/>
      <c r="F17" s="21">
        <f>250000000/10000000</f>
        <v>25</v>
      </c>
      <c r="G17" s="21"/>
      <c r="H17" s="21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4">
        <f t="shared" si="3"/>
        <v>0</v>
      </c>
      <c r="Z17" s="16"/>
    </row>
    <row r="18" spans="1:26" s="5" customFormat="1" ht="21" customHeight="1">
      <c r="A18" s="9"/>
      <c r="B18" s="9"/>
      <c r="C18" s="10"/>
      <c r="D18" s="9"/>
      <c r="E18" s="21"/>
      <c r="F18" s="14"/>
      <c r="G18" s="14"/>
      <c r="H18" s="14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4">
        <f t="shared" si="3"/>
        <v>0</v>
      </c>
      <c r="Z18" s="16"/>
    </row>
    <row r="19" spans="1:26" s="5" customFormat="1" ht="21" customHeight="1">
      <c r="A19" s="9"/>
      <c r="B19" s="9"/>
      <c r="C19" s="10"/>
      <c r="D19" s="9"/>
      <c r="E19" s="21"/>
      <c r="F19" s="14"/>
      <c r="G19" s="14"/>
      <c r="H19" s="14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4">
        <f t="shared" si="3"/>
        <v>0</v>
      </c>
      <c r="Z19" s="16"/>
    </row>
    <row r="20" spans="1:26" s="5" customFormat="1" ht="21" customHeight="1">
      <c r="A20" s="9"/>
      <c r="B20" s="9"/>
      <c r="C20" s="10"/>
      <c r="D20" s="9"/>
      <c r="E20" s="22"/>
      <c r="F20" s="22"/>
      <c r="G20" s="22"/>
      <c r="H20" s="22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14">
        <f t="shared" si="3"/>
        <v>0</v>
      </c>
      <c r="Z20" s="21"/>
    </row>
    <row r="21" spans="1:26" s="5" customFormat="1" ht="21" customHeight="1">
      <c r="A21" s="9"/>
      <c r="B21" s="18"/>
      <c r="C21" s="18"/>
      <c r="D21" s="6" t="s">
        <v>32</v>
      </c>
      <c r="E21" s="20">
        <f>SUM(E15:E20)</f>
        <v>1421.78</v>
      </c>
      <c r="F21" s="20">
        <f>SUM(F15:F20)</f>
        <v>1183.6853647</v>
      </c>
      <c r="G21" s="20"/>
      <c r="H21" s="20"/>
      <c r="I21" s="20">
        <f>SUM(I15:I20)</f>
        <v>0</v>
      </c>
      <c r="J21" s="20">
        <f>SUM(J15:J20)</f>
        <v>0</v>
      </c>
      <c r="K21" s="20">
        <f>SUM(K15:K20)</f>
        <v>0</v>
      </c>
      <c r="L21" s="20">
        <f>SUM(L15:L20)</f>
        <v>0</v>
      </c>
      <c r="M21" s="20"/>
      <c r="N21" s="20">
        <f t="shared" ref="N21:Y21" si="4">SUM(N15:N20)</f>
        <v>0</v>
      </c>
      <c r="O21" s="20">
        <f t="shared" si="4"/>
        <v>0</v>
      </c>
      <c r="P21" s="20">
        <f t="shared" si="4"/>
        <v>0</v>
      </c>
      <c r="Q21" s="20">
        <f t="shared" si="4"/>
        <v>0</v>
      </c>
      <c r="R21" s="20">
        <f t="shared" si="4"/>
        <v>0</v>
      </c>
      <c r="S21" s="20">
        <f t="shared" si="4"/>
        <v>0</v>
      </c>
      <c r="T21" s="20">
        <f t="shared" si="4"/>
        <v>0</v>
      </c>
      <c r="U21" s="20">
        <f t="shared" si="4"/>
        <v>0</v>
      </c>
      <c r="V21" s="20">
        <f t="shared" si="4"/>
        <v>0</v>
      </c>
      <c r="W21" s="20">
        <f t="shared" si="4"/>
        <v>0</v>
      </c>
      <c r="X21" s="20">
        <f t="shared" si="4"/>
        <v>0</v>
      </c>
      <c r="Y21" s="20">
        <f t="shared" si="4"/>
        <v>0</v>
      </c>
      <c r="Z21" s="21"/>
    </row>
    <row r="22" spans="1:26" s="5" customFormat="1" ht="21" customHeight="1">
      <c r="A22" s="9"/>
      <c r="B22" s="18"/>
      <c r="C22" s="18"/>
      <c r="D22" s="6" t="s">
        <v>34</v>
      </c>
      <c r="E22" s="23">
        <f>+E14+E21</f>
        <v>2421.7799999999997</v>
      </c>
      <c r="F22" s="23">
        <f>+F14+F21</f>
        <v>2183.6853646999998</v>
      </c>
      <c r="G22" s="23"/>
      <c r="H22" s="23"/>
      <c r="I22" s="23">
        <f>+I14+I21</f>
        <v>0</v>
      </c>
      <c r="J22" s="23">
        <f>+J14+J21</f>
        <v>0</v>
      </c>
      <c r="K22" s="23">
        <f>+K14+K21</f>
        <v>0</v>
      </c>
      <c r="L22" s="23">
        <f>+L14+L21</f>
        <v>0</v>
      </c>
      <c r="M22" s="23"/>
      <c r="N22" s="23">
        <f t="shared" ref="N22:Y22" si="5">+N14+N21</f>
        <v>0</v>
      </c>
      <c r="O22" s="23">
        <f t="shared" si="5"/>
        <v>0</v>
      </c>
      <c r="P22" s="23">
        <f t="shared" si="5"/>
        <v>0</v>
      </c>
      <c r="Q22" s="23">
        <f t="shared" si="5"/>
        <v>0</v>
      </c>
      <c r="R22" s="23">
        <f t="shared" si="5"/>
        <v>0</v>
      </c>
      <c r="S22" s="23">
        <f t="shared" si="5"/>
        <v>0</v>
      </c>
      <c r="T22" s="23">
        <f t="shared" si="5"/>
        <v>0</v>
      </c>
      <c r="U22" s="23">
        <f t="shared" si="5"/>
        <v>0</v>
      </c>
      <c r="V22" s="23">
        <f t="shared" si="5"/>
        <v>0</v>
      </c>
      <c r="W22" s="23">
        <f t="shared" si="5"/>
        <v>0</v>
      </c>
      <c r="X22" s="23">
        <f t="shared" si="5"/>
        <v>0</v>
      </c>
      <c r="Y22" s="23">
        <f t="shared" si="5"/>
        <v>0</v>
      </c>
      <c r="Z22" s="18"/>
    </row>
    <row r="23" spans="1:26" s="5" customFormat="1" ht="21" customHeight="1">
      <c r="A23" s="9" t="s">
        <v>35</v>
      </c>
      <c r="B23" s="9"/>
      <c r="C23" s="10"/>
      <c r="D23" s="10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4">
        <f t="shared" ref="Y23:Y27" si="6">SUM(N23:X23)</f>
        <v>0</v>
      </c>
      <c r="Z23" s="18"/>
    </row>
    <row r="24" spans="1:26" s="5" customFormat="1" ht="21" customHeight="1">
      <c r="A24" s="9"/>
      <c r="B24" s="9"/>
      <c r="C24" s="10"/>
      <c r="D24" s="1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4">
        <f t="shared" si="6"/>
        <v>0</v>
      </c>
      <c r="Z24" s="18"/>
    </row>
    <row r="25" spans="1:26" s="5" customFormat="1" ht="21" customHeight="1">
      <c r="A25" s="9"/>
      <c r="B25" s="9"/>
      <c r="C25" s="10"/>
      <c r="D25" s="10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4">
        <f t="shared" si="6"/>
        <v>0</v>
      </c>
      <c r="Z25" s="18"/>
    </row>
    <row r="26" spans="1:26" s="5" customFormat="1" ht="21" customHeight="1">
      <c r="A26" s="9"/>
      <c r="B26" s="9"/>
      <c r="C26" s="10"/>
      <c r="D26" s="1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4">
        <f t="shared" si="6"/>
        <v>0</v>
      </c>
      <c r="Z26" s="18"/>
    </row>
    <row r="27" spans="1:26" s="5" customFormat="1" ht="21" customHeight="1">
      <c r="A27" s="9"/>
      <c r="B27" s="9"/>
      <c r="C27" s="10"/>
      <c r="D27" s="10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4">
        <f t="shared" si="6"/>
        <v>0</v>
      </c>
      <c r="Z27" s="18"/>
    </row>
    <row r="28" spans="1:26" s="5" customFormat="1" ht="21" customHeight="1">
      <c r="A28" s="9"/>
      <c r="B28" s="18"/>
      <c r="C28" s="18"/>
      <c r="D28" s="6" t="s">
        <v>34</v>
      </c>
      <c r="E28" s="20">
        <f t="shared" ref="E28:X28" si="7">SUM(E23:E27)</f>
        <v>0</v>
      </c>
      <c r="F28" s="20">
        <f t="shared" si="7"/>
        <v>0</v>
      </c>
      <c r="G28" s="20"/>
      <c r="H28" s="20"/>
      <c r="I28" s="20">
        <f t="shared" si="7"/>
        <v>0</v>
      </c>
      <c r="J28" s="20">
        <f t="shared" si="7"/>
        <v>0</v>
      </c>
      <c r="K28" s="20">
        <f t="shared" si="7"/>
        <v>0</v>
      </c>
      <c r="L28" s="20">
        <f t="shared" si="7"/>
        <v>0</v>
      </c>
      <c r="M28" s="20"/>
      <c r="N28" s="20">
        <f t="shared" si="7"/>
        <v>0</v>
      </c>
      <c r="O28" s="20">
        <f t="shared" si="7"/>
        <v>0</v>
      </c>
      <c r="P28" s="20">
        <f t="shared" si="7"/>
        <v>0</v>
      </c>
      <c r="Q28" s="20">
        <f t="shared" si="7"/>
        <v>0</v>
      </c>
      <c r="R28" s="20">
        <f t="shared" si="7"/>
        <v>0</v>
      </c>
      <c r="S28" s="20">
        <f t="shared" si="7"/>
        <v>0</v>
      </c>
      <c r="T28" s="20">
        <f t="shared" si="7"/>
        <v>0</v>
      </c>
      <c r="U28" s="20">
        <f t="shared" si="7"/>
        <v>0</v>
      </c>
      <c r="V28" s="20">
        <f t="shared" si="7"/>
        <v>0</v>
      </c>
      <c r="W28" s="20">
        <f t="shared" si="7"/>
        <v>0</v>
      </c>
      <c r="X28" s="20">
        <f t="shared" si="7"/>
        <v>0</v>
      </c>
      <c r="Y28" s="20">
        <f>SUM(Y23:Y27)</f>
        <v>0</v>
      </c>
      <c r="Z28" s="18"/>
    </row>
    <row r="29" spans="1:26" s="5" customFormat="1" ht="21" customHeight="1">
      <c r="A29" s="22"/>
      <c r="B29" s="18"/>
      <c r="C29" s="18"/>
      <c r="D29" s="6" t="s">
        <v>36</v>
      </c>
      <c r="E29" s="23">
        <f>+E22+E28</f>
        <v>2421.7799999999997</v>
      </c>
      <c r="F29" s="23">
        <f>+F22+F28</f>
        <v>2183.6853646999998</v>
      </c>
      <c r="G29" s="23"/>
      <c r="H29" s="23"/>
      <c r="I29" s="23">
        <f>+I22+I28</f>
        <v>0</v>
      </c>
      <c r="J29" s="23">
        <f>+J22+J28</f>
        <v>0</v>
      </c>
      <c r="K29" s="23">
        <f>+K22+K28</f>
        <v>0</v>
      </c>
      <c r="L29" s="23">
        <f>+L22+L28</f>
        <v>0</v>
      </c>
      <c r="M29" s="23"/>
      <c r="N29" s="23">
        <f t="shared" ref="N29:Y29" si="8">+N22+N28</f>
        <v>0</v>
      </c>
      <c r="O29" s="23">
        <f t="shared" si="8"/>
        <v>0</v>
      </c>
      <c r="P29" s="23">
        <f t="shared" si="8"/>
        <v>0</v>
      </c>
      <c r="Q29" s="23">
        <f t="shared" si="8"/>
        <v>0</v>
      </c>
      <c r="R29" s="23">
        <f t="shared" si="8"/>
        <v>0</v>
      </c>
      <c r="S29" s="23">
        <f t="shared" si="8"/>
        <v>0</v>
      </c>
      <c r="T29" s="23">
        <f t="shared" si="8"/>
        <v>0</v>
      </c>
      <c r="U29" s="23">
        <f t="shared" si="8"/>
        <v>0</v>
      </c>
      <c r="V29" s="23">
        <f t="shared" si="8"/>
        <v>0</v>
      </c>
      <c r="W29" s="23">
        <f t="shared" si="8"/>
        <v>0</v>
      </c>
      <c r="X29" s="23">
        <f t="shared" si="8"/>
        <v>0</v>
      </c>
      <c r="Y29" s="23">
        <f t="shared" si="8"/>
        <v>0</v>
      </c>
      <c r="Z29" s="23"/>
    </row>
    <row r="30" spans="1:26" s="5" customFormat="1" ht="20.100000000000001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s="5" customFormat="1" ht="20.100000000000001" customHeight="1">
      <c r="A31" s="24"/>
      <c r="B31" s="24"/>
      <c r="C31" s="24"/>
      <c r="D31" s="24"/>
      <c r="E31" s="24"/>
      <c r="F31" s="24"/>
      <c r="G31" s="24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s="5" customFormat="1" ht="17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5" customFormat="1" ht="17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s="5" customFormat="1" ht="17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s="5" customFormat="1" ht="17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s="5" customFormat="1" ht="17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s="5" customFormat="1" ht="17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s="5" customFormat="1" ht="17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</sheetData>
  <mergeCells count="20">
    <mergeCell ref="A23:A28"/>
    <mergeCell ref="B23:B27"/>
    <mergeCell ref="A6:A22"/>
    <mergeCell ref="B6:B13"/>
    <mergeCell ref="D6:D13"/>
    <mergeCell ref="E6:E13"/>
    <mergeCell ref="F6:F13"/>
    <mergeCell ref="K6:K13"/>
    <mergeCell ref="B15:B20"/>
    <mergeCell ref="D15:D20"/>
    <mergeCell ref="A1:Z1"/>
    <mergeCell ref="A2:A3"/>
    <mergeCell ref="B2:B3"/>
    <mergeCell ref="C2:C3"/>
    <mergeCell ref="D2:D3"/>
    <mergeCell ref="E2:E3"/>
    <mergeCell ref="F2:F3"/>
    <mergeCell ref="G2:G3"/>
    <mergeCell ref="H2:H3"/>
    <mergeCell ref="I2:Z2"/>
  </mergeCells>
  <printOptions horizontalCentered="1" verticalCentered="1"/>
  <pageMargins left="0.67" right="0.28000000000000003" top="0.39370078740157483" bottom="0.39370078740157483" header="0.31496062992125984" footer="0.31496062992125984"/>
  <pageSetup paperSize="5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2"/>
  <sheetViews>
    <sheetView zoomScale="85" zoomScaleNormal="85" workbookViewId="0">
      <selection activeCell="C29" sqref="C29"/>
    </sheetView>
  </sheetViews>
  <sheetFormatPr defaultRowHeight="16.5"/>
  <cols>
    <col min="1" max="3" width="19.140625" style="26" customWidth="1"/>
    <col min="4" max="4" width="12.140625" style="26" customWidth="1"/>
    <col min="5" max="5" width="11.140625" style="26" customWidth="1"/>
    <col min="6" max="6" width="12.7109375" style="26" customWidth="1"/>
    <col min="7" max="7" width="4" style="26" customWidth="1"/>
    <col min="8" max="8" width="15" style="26" customWidth="1"/>
    <col min="9" max="9" width="17.5703125" style="26" customWidth="1"/>
    <col min="10" max="10" width="15" style="26" customWidth="1"/>
    <col min="11" max="11" width="17.5703125" style="26" customWidth="1"/>
    <col min="12" max="12" width="12.140625" style="26" customWidth="1"/>
    <col min="13" max="16384" width="9.140625" style="3"/>
  </cols>
  <sheetData>
    <row r="1" spans="1:12" ht="18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.25" customHeight="1">
      <c r="A2" s="28" t="s">
        <v>37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s="5" customFormat="1" ht="131.25" customHeight="1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4" t="s">
        <v>44</v>
      </c>
      <c r="H3" s="6" t="s">
        <v>45</v>
      </c>
      <c r="I3" s="6" t="s">
        <v>46</v>
      </c>
      <c r="J3" s="6" t="s">
        <v>47</v>
      </c>
      <c r="K3" s="6" t="s">
        <v>48</v>
      </c>
      <c r="L3" s="6" t="s">
        <v>27</v>
      </c>
    </row>
    <row r="4" spans="1:12" s="7" customFormat="1" ht="33.75" customHeight="1">
      <c r="A4" s="6" t="s">
        <v>52</v>
      </c>
      <c r="B4" s="6" t="s">
        <v>52</v>
      </c>
      <c r="C4" s="6" t="s">
        <v>52</v>
      </c>
      <c r="D4" s="6" t="s">
        <v>52</v>
      </c>
      <c r="E4" s="6" t="s">
        <v>52</v>
      </c>
      <c r="F4" s="6" t="s">
        <v>52</v>
      </c>
      <c r="G4" s="4"/>
      <c r="H4" s="31" t="s">
        <v>49</v>
      </c>
      <c r="I4" s="6" t="s">
        <v>52</v>
      </c>
      <c r="J4" s="6" t="s">
        <v>50</v>
      </c>
      <c r="K4" s="31" t="s">
        <v>50</v>
      </c>
      <c r="L4" s="6"/>
    </row>
    <row r="5" spans="1:12" s="7" customFormat="1" ht="15.75" customHeight="1">
      <c r="A5" s="32">
        <v>27</v>
      </c>
      <c r="B5" s="32">
        <v>28</v>
      </c>
      <c r="C5" s="32">
        <v>29</v>
      </c>
      <c r="D5" s="32">
        <v>30</v>
      </c>
      <c r="E5" s="32">
        <v>31</v>
      </c>
      <c r="F5" s="32">
        <v>32</v>
      </c>
      <c r="G5" s="4"/>
      <c r="H5" s="32">
        <v>33</v>
      </c>
      <c r="I5" s="32">
        <v>34</v>
      </c>
      <c r="J5" s="32">
        <v>35</v>
      </c>
      <c r="K5" s="32">
        <v>36</v>
      </c>
      <c r="L5" s="32">
        <v>37</v>
      </c>
    </row>
    <row r="6" spans="1:12" s="5" customFormat="1" ht="20.25" customHeight="1">
      <c r="A6" s="8"/>
      <c r="B6" s="8"/>
      <c r="C6" s="8" t="s">
        <v>51</v>
      </c>
      <c r="D6" s="8"/>
      <c r="E6" s="8"/>
      <c r="F6" s="8"/>
      <c r="G6" s="4"/>
      <c r="H6" s="8"/>
      <c r="I6" s="8"/>
      <c r="J6" s="33">
        <f t="shared" ref="J6:J22" si="0">+H6-I6</f>
        <v>0</v>
      </c>
      <c r="K6" s="33">
        <f>+F6-H6</f>
        <v>0</v>
      </c>
      <c r="L6" s="8"/>
    </row>
    <row r="7" spans="1:12" s="5" customFormat="1" ht="20.25" customHeight="1">
      <c r="A7" s="14"/>
      <c r="B7" s="14"/>
      <c r="C7" s="14"/>
      <c r="D7" s="14"/>
      <c r="E7" s="14"/>
      <c r="F7" s="14"/>
      <c r="G7" s="4"/>
      <c r="H7" s="14"/>
      <c r="I7" s="14"/>
      <c r="J7" s="33">
        <f t="shared" si="0"/>
        <v>0</v>
      </c>
      <c r="K7" s="33">
        <f t="shared" ref="K7:K22" si="1">+F7-H7</f>
        <v>0</v>
      </c>
      <c r="L7" s="14"/>
    </row>
    <row r="8" spans="1:12" s="5" customFormat="1" ht="20.25" customHeight="1">
      <c r="A8" s="16"/>
      <c r="B8" s="16"/>
      <c r="C8" s="16"/>
      <c r="D8" s="16"/>
      <c r="E8" s="16"/>
      <c r="F8" s="16"/>
      <c r="G8" s="4"/>
      <c r="H8" s="16"/>
      <c r="I8" s="16"/>
      <c r="J8" s="33">
        <f t="shared" si="0"/>
        <v>0</v>
      </c>
      <c r="K8" s="33">
        <f t="shared" si="1"/>
        <v>0</v>
      </c>
      <c r="L8" s="16"/>
    </row>
    <row r="9" spans="1:12" s="5" customFormat="1" ht="20.25" customHeight="1">
      <c r="A9" s="16"/>
      <c r="B9" s="16"/>
      <c r="C9" s="16"/>
      <c r="D9" s="16"/>
      <c r="E9" s="16"/>
      <c r="F9" s="16"/>
      <c r="G9" s="4"/>
      <c r="H9" s="16"/>
      <c r="I9" s="16"/>
      <c r="J9" s="33">
        <f t="shared" si="0"/>
        <v>0</v>
      </c>
      <c r="K9" s="33">
        <f t="shared" si="1"/>
        <v>0</v>
      </c>
      <c r="L9" s="16"/>
    </row>
    <row r="10" spans="1:12" s="5" customFormat="1" ht="20.25" customHeight="1">
      <c r="A10" s="16"/>
      <c r="B10" s="16"/>
      <c r="C10" s="16"/>
      <c r="D10" s="16"/>
      <c r="E10" s="16"/>
      <c r="F10" s="16"/>
      <c r="G10" s="4"/>
      <c r="H10" s="16"/>
      <c r="I10" s="16"/>
      <c r="J10" s="33">
        <f t="shared" si="0"/>
        <v>0</v>
      </c>
      <c r="K10" s="33">
        <f t="shared" si="1"/>
        <v>0</v>
      </c>
      <c r="L10" s="16"/>
    </row>
    <row r="11" spans="1:12" s="5" customFormat="1" ht="20.25" customHeight="1">
      <c r="A11" s="16"/>
      <c r="B11" s="16"/>
      <c r="C11" s="16"/>
      <c r="D11" s="16"/>
      <c r="E11" s="16"/>
      <c r="F11" s="16"/>
      <c r="G11" s="4"/>
      <c r="H11" s="16"/>
      <c r="I11" s="16"/>
      <c r="J11" s="33">
        <f t="shared" si="0"/>
        <v>0</v>
      </c>
      <c r="K11" s="33">
        <f t="shared" si="1"/>
        <v>0</v>
      </c>
      <c r="L11" s="16"/>
    </row>
    <row r="12" spans="1:12" s="5" customFormat="1" ht="20.25" customHeight="1">
      <c r="A12" s="20"/>
      <c r="B12" s="20"/>
      <c r="C12" s="20"/>
      <c r="D12" s="20"/>
      <c r="E12" s="20"/>
      <c r="F12" s="20"/>
      <c r="G12" s="4"/>
      <c r="H12" s="20"/>
      <c r="I12" s="20"/>
      <c r="J12" s="33">
        <f t="shared" si="0"/>
        <v>0</v>
      </c>
      <c r="K12" s="33">
        <f t="shared" si="1"/>
        <v>0</v>
      </c>
      <c r="L12" s="20"/>
    </row>
    <row r="13" spans="1:12" s="5" customFormat="1" ht="20.25" customHeight="1">
      <c r="A13" s="23"/>
      <c r="B13" s="23"/>
      <c r="C13" s="23"/>
      <c r="D13" s="23"/>
      <c r="E13" s="23"/>
      <c r="F13" s="23"/>
      <c r="G13" s="4"/>
      <c r="H13" s="23"/>
      <c r="I13" s="23"/>
      <c r="J13" s="33">
        <f t="shared" si="0"/>
        <v>0</v>
      </c>
      <c r="K13" s="33">
        <f t="shared" si="1"/>
        <v>0</v>
      </c>
      <c r="L13" s="23"/>
    </row>
    <row r="14" spans="1:12" s="5" customFormat="1" ht="20.25" customHeight="1">
      <c r="A14" s="18"/>
      <c r="B14" s="18"/>
      <c r="C14" s="18"/>
      <c r="D14" s="18"/>
      <c r="E14" s="18"/>
      <c r="F14" s="18"/>
      <c r="G14" s="4"/>
      <c r="H14" s="18"/>
      <c r="I14" s="18"/>
      <c r="J14" s="33">
        <f t="shared" si="0"/>
        <v>0</v>
      </c>
      <c r="K14" s="33">
        <f t="shared" si="1"/>
        <v>0</v>
      </c>
      <c r="L14" s="18"/>
    </row>
    <row r="15" spans="1:12" s="5" customFormat="1" ht="20.25" customHeight="1">
      <c r="A15" s="18"/>
      <c r="B15" s="18"/>
      <c r="C15" s="18"/>
      <c r="D15" s="18"/>
      <c r="E15" s="18"/>
      <c r="F15" s="18"/>
      <c r="G15" s="4"/>
      <c r="H15" s="18"/>
      <c r="I15" s="18"/>
      <c r="J15" s="33">
        <f t="shared" si="0"/>
        <v>0</v>
      </c>
      <c r="K15" s="33">
        <f t="shared" si="1"/>
        <v>0</v>
      </c>
      <c r="L15" s="18"/>
    </row>
    <row r="16" spans="1:12" s="5" customFormat="1" ht="20.25" customHeight="1">
      <c r="A16" s="18"/>
      <c r="B16" s="18"/>
      <c r="C16" s="18"/>
      <c r="D16" s="18"/>
      <c r="E16" s="18"/>
      <c r="F16" s="18"/>
      <c r="G16" s="4"/>
      <c r="H16" s="18"/>
      <c r="I16" s="18"/>
      <c r="J16" s="33">
        <f t="shared" si="0"/>
        <v>0</v>
      </c>
      <c r="K16" s="33">
        <f t="shared" si="1"/>
        <v>0</v>
      </c>
      <c r="L16" s="18"/>
    </row>
    <row r="17" spans="1:12" s="5" customFormat="1" ht="20.25" customHeight="1">
      <c r="A17" s="18"/>
      <c r="B17" s="18"/>
      <c r="C17" s="18"/>
      <c r="D17" s="18"/>
      <c r="E17" s="18"/>
      <c r="F17" s="18"/>
      <c r="G17" s="4"/>
      <c r="H17" s="18"/>
      <c r="I17" s="18"/>
      <c r="J17" s="33">
        <f t="shared" si="0"/>
        <v>0</v>
      </c>
      <c r="K17" s="33">
        <f t="shared" si="1"/>
        <v>0</v>
      </c>
      <c r="L17" s="18"/>
    </row>
    <row r="18" spans="1:12" s="5" customFormat="1" ht="20.25" customHeight="1">
      <c r="A18" s="18"/>
      <c r="B18" s="18"/>
      <c r="C18" s="18"/>
      <c r="D18" s="18"/>
      <c r="E18" s="18"/>
      <c r="F18" s="18"/>
      <c r="G18" s="4"/>
      <c r="H18" s="18"/>
      <c r="I18" s="18"/>
      <c r="J18" s="33">
        <f t="shared" si="0"/>
        <v>0</v>
      </c>
      <c r="K18" s="33">
        <f t="shared" si="1"/>
        <v>0</v>
      </c>
      <c r="L18" s="18"/>
    </row>
    <row r="19" spans="1:12" s="5" customFormat="1" ht="20.25" customHeight="1">
      <c r="A19" s="18"/>
      <c r="B19" s="18"/>
      <c r="C19" s="18"/>
      <c r="D19" s="18"/>
      <c r="E19" s="18"/>
      <c r="F19" s="18"/>
      <c r="G19" s="4"/>
      <c r="H19" s="18"/>
      <c r="I19" s="18"/>
      <c r="J19" s="33">
        <f t="shared" si="0"/>
        <v>0</v>
      </c>
      <c r="K19" s="33">
        <f t="shared" si="1"/>
        <v>0</v>
      </c>
      <c r="L19" s="18"/>
    </row>
    <row r="20" spans="1:12" s="5" customFormat="1" ht="20.25" customHeight="1">
      <c r="A20" s="18"/>
      <c r="B20" s="18"/>
      <c r="C20" s="18"/>
      <c r="D20" s="18"/>
      <c r="E20" s="18"/>
      <c r="F20" s="18"/>
      <c r="G20" s="4"/>
      <c r="H20" s="18"/>
      <c r="I20" s="18"/>
      <c r="J20" s="33">
        <f t="shared" si="0"/>
        <v>0</v>
      </c>
      <c r="K20" s="33">
        <f t="shared" si="1"/>
        <v>0</v>
      </c>
      <c r="L20" s="18"/>
    </row>
    <row r="21" spans="1:12" s="5" customFormat="1" ht="20.25" customHeight="1">
      <c r="A21" s="18"/>
      <c r="B21" s="18"/>
      <c r="C21" s="18"/>
      <c r="D21" s="18"/>
      <c r="E21" s="18"/>
      <c r="F21" s="18"/>
      <c r="G21" s="4"/>
      <c r="H21" s="18"/>
      <c r="I21" s="18"/>
      <c r="J21" s="33">
        <f t="shared" si="0"/>
        <v>0</v>
      </c>
      <c r="K21" s="33">
        <f t="shared" si="1"/>
        <v>0</v>
      </c>
      <c r="L21" s="18"/>
    </row>
    <row r="22" spans="1:12" s="5" customFormat="1" ht="20.25" customHeight="1">
      <c r="A22" s="18"/>
      <c r="B22" s="18"/>
      <c r="C22" s="18"/>
      <c r="D22" s="18"/>
      <c r="E22" s="18"/>
      <c r="F22" s="18"/>
      <c r="G22" s="4"/>
      <c r="H22" s="18"/>
      <c r="I22" s="18"/>
      <c r="J22" s="33">
        <f t="shared" si="0"/>
        <v>0</v>
      </c>
      <c r="K22" s="33">
        <f t="shared" si="1"/>
        <v>0</v>
      </c>
      <c r="L22" s="18"/>
    </row>
    <row r="23" spans="1:12" s="35" customFormat="1" ht="20.25" customHeight="1">
      <c r="A23" s="34"/>
      <c r="B23" s="34"/>
      <c r="C23" s="34"/>
      <c r="D23" s="34">
        <f t="shared" ref="D23:F23" si="2">SUM(D6:D22)</f>
        <v>0</v>
      </c>
      <c r="E23" s="34">
        <f t="shared" si="2"/>
        <v>0</v>
      </c>
      <c r="F23" s="34">
        <f t="shared" si="2"/>
        <v>0</v>
      </c>
      <c r="G23" s="4"/>
      <c r="H23" s="34">
        <f t="shared" ref="H23:J23" si="3">SUM(H6:H22)</f>
        <v>0</v>
      </c>
      <c r="I23" s="34">
        <f t="shared" si="3"/>
        <v>0</v>
      </c>
      <c r="J23" s="34">
        <f t="shared" si="3"/>
        <v>0</v>
      </c>
      <c r="K23" s="34">
        <f>SUM(K6:K22)</f>
        <v>0</v>
      </c>
      <c r="L23" s="34">
        <f t="shared" ref="L23" si="4">SUM(L6:L22)</f>
        <v>0</v>
      </c>
    </row>
    <row r="24" spans="1:12" s="5" customFormat="1" ht="20.100000000000001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1:12" s="5" customFormat="1" ht="20.100000000000001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s="5" customFormat="1" ht="17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s="5" customFormat="1" ht="17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s="5" customFormat="1" ht="17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 s="5" customFormat="1" ht="17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s="5" customFormat="1" ht="17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s="5" customFormat="1" ht="17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 s="5" customFormat="1" ht="17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</sheetData>
  <mergeCells count="3">
    <mergeCell ref="A1:L1"/>
    <mergeCell ref="A2:L2"/>
    <mergeCell ref="G3:G23"/>
  </mergeCells>
  <printOptions horizontalCentered="1" verticalCentered="1"/>
  <pageMargins left="0.67" right="0.28000000000000003" top="0.39370078740157483" bottom="0.39370078740157483" header="0.31496062992125984" footer="0.31496062992125984"/>
  <pageSetup paperSize="5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MD</vt:lpstr>
      <vt:lpstr>DISTRICT FARMERS</vt:lpstr>
      <vt:lpstr>'DISTRICT FARMERS'!Print_Area</vt:lpstr>
      <vt:lpstr>MD!Print_Area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2026-03-24T11:58:01Z</dcterms:created>
  <dcterms:modified xsi:type="dcterms:W3CDTF">2026-03-24T11:59:19Z</dcterms:modified>
</cp:coreProperties>
</file>